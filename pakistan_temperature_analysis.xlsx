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k094843\Downloads\"/>
    </mc:Choice>
  </mc:AlternateContent>
  <xr:revisionPtr revIDLastSave="0" documentId="8_{A0FC3BFB-7A53-4C38-A151-B56DA25A73A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leaned_Data" sheetId="3" r:id="rId1"/>
    <sheet name="Original data" sheetId="1" r:id="rId2"/>
  </sheets>
  <definedNames>
    <definedName name="ExternalData_1" localSheetId="0" hidden="1">Cleaned_Data!$A$1:$E$126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3" l="1"/>
  <c r="K3" i="3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41C7A-EE30-4608-AB6A-DFF82EF06BF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<sst xmlns="http://schemas.openxmlformats.org/spreadsheetml/2006/main" count="512" uniqueCount="135">
  <si>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</si>
  <si>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</si>
  <si>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</si>
  <si>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</si>
  <si>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</si>
  <si>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</si>
  <si>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</si>
  <si>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</si>
  <si>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</si>
  <si>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</si>
  <si>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</si>
  <si>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</si>
  <si>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</si>
  <si>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</si>
  <si>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</si>
  <si>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</si>
  <si>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</si>
  <si>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</si>
  <si>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</si>
  <si>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</si>
  <si>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</si>
  <si>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</si>
  <si>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</si>
  <si>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</si>
  <si>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</si>
  <si>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</si>
  <si>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</si>
  <si>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</si>
  <si>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</si>
  <si>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</si>
  <si>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</si>
  <si>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</si>
  <si>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</si>
  <si>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</si>
  <si>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</si>
  <si>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</si>
  <si>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</si>
  <si>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</si>
  <si>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</si>
  <si>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</si>
  <si>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</si>
  <si>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</si>
  <si>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</si>
  <si>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</si>
  <si>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</si>
  <si>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</si>
  <si>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</si>
  <si>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</si>
  <si>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</si>
  <si>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</si>
  <si>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</si>
  <si>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</si>
  <si>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</si>
  <si>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</si>
  <si>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</si>
  <si>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</si>
  <si>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</si>
  <si>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</si>
  <si>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</si>
  <si>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</si>
  <si>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</si>
  <si>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</si>
  <si>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</si>
  <si>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</si>
  <si>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</si>
  <si>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</si>
  <si>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</si>
  <si>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</si>
  <si>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</si>
  <si>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</si>
  <si>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</si>
  <si>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</si>
  <si>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</si>
  <si>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</si>
  <si>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</si>
  <si>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</si>
  <si>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</si>
  <si>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</si>
  <si>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</si>
  <si>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</si>
  <si>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</si>
  <si>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</si>
  <si>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</si>
  <si>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</si>
  <si>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</si>
  <si>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</si>
  <si>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</si>
  <si>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</si>
  <si>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</si>
  <si>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</si>
  <si>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</si>
  <si>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</si>
  <si>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</si>
  <si>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</si>
  <si>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</si>
  <si>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</si>
  <si>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</si>
  <si>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</si>
  <si>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</si>
  <si>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</si>
  <si>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</si>
  <si>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</si>
  <si>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</si>
  <si>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</si>
  <si>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</si>
  <si>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</si>
  <si>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</si>
  <si>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</si>
  <si>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</si>
  <si>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</si>
  <si>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</si>
  <si>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</si>
  <si>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</si>
  <si>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</si>
  <si>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</si>
  <si>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</si>
  <si>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</si>
  <si>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</si>
  <si>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</si>
  <si>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</si>
  <si>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</si>
  <si>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</si>
  <si>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</si>
  <si>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</si>
  <si>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</si>
  <si>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</si>
  <si>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</si>
  <si>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PAK</t>
  </si>
  <si>
    <t>Pakistan</t>
  </si>
  <si>
    <t>Year</t>
  </si>
  <si>
    <t>Temperature</t>
  </si>
  <si>
    <t>Date</t>
  </si>
  <si>
    <t>1901–1930 average</t>
  </si>
  <si>
    <t>1996–2025 average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</si>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</sst>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Pakistan: Annual Average Surface Air Temperature, 1901–2025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Cleaned_Data!$D$1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Cleaned_Data!$E$2:$E$126</c:f>
              <c:numCache>
                <c:formatCode>General</c:formatCod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numCache>
            </c:numRef>
          </c:cat>
          <c:val>
            <c:numRef>
              <c:f>Cleaned_Data!$D$2:$D$126</c:f>
              <c:numCache>
                <c:formatCode>General</c:formatCode>
                <c:ptCount val="125"/>
                <c:pt idx="0">
                  <c:v>20.99</c:v>
                </c:pt>
                <c:pt idx="1">
                  <c:v>21.2</c:v>
                </c:pt>
                <c:pt idx="2">
                  <c:v>20.440000000000001</c:v>
                </c:pt>
                <c:pt idx="3">
                  <c:v>20.72</c:v>
                </c:pt>
                <c:pt idx="4">
                  <c:v>20.46</c:v>
                </c:pt>
                <c:pt idx="5">
                  <c:v>20.67</c:v>
                </c:pt>
                <c:pt idx="6">
                  <c:v>20.46</c:v>
                </c:pt>
                <c:pt idx="7">
                  <c:v>20.440000000000001</c:v>
                </c:pt>
                <c:pt idx="8">
                  <c:v>20.350000000000001</c:v>
                </c:pt>
                <c:pt idx="9">
                  <c:v>20.37</c:v>
                </c:pt>
                <c:pt idx="10">
                  <c:v>20.68</c:v>
                </c:pt>
                <c:pt idx="11">
                  <c:v>20.81</c:v>
                </c:pt>
                <c:pt idx="12">
                  <c:v>20.53</c:v>
                </c:pt>
                <c:pt idx="13">
                  <c:v>20.79</c:v>
                </c:pt>
                <c:pt idx="14">
                  <c:v>21.26</c:v>
                </c:pt>
                <c:pt idx="15">
                  <c:v>20.69</c:v>
                </c:pt>
                <c:pt idx="16">
                  <c:v>20.23</c:v>
                </c:pt>
                <c:pt idx="17">
                  <c:v>20.63</c:v>
                </c:pt>
                <c:pt idx="18">
                  <c:v>20.45</c:v>
                </c:pt>
                <c:pt idx="19">
                  <c:v>20.399999999999999</c:v>
                </c:pt>
                <c:pt idx="20">
                  <c:v>21.17</c:v>
                </c:pt>
                <c:pt idx="21">
                  <c:v>20.86</c:v>
                </c:pt>
                <c:pt idx="22">
                  <c:v>20.52</c:v>
                </c:pt>
                <c:pt idx="23">
                  <c:v>20.61</c:v>
                </c:pt>
                <c:pt idx="24">
                  <c:v>20.69</c:v>
                </c:pt>
                <c:pt idx="25">
                  <c:v>20.48</c:v>
                </c:pt>
                <c:pt idx="26">
                  <c:v>20.350000000000001</c:v>
                </c:pt>
                <c:pt idx="27">
                  <c:v>20.67</c:v>
                </c:pt>
                <c:pt idx="28">
                  <c:v>20.61</c:v>
                </c:pt>
                <c:pt idx="29">
                  <c:v>20.399999999999999</c:v>
                </c:pt>
                <c:pt idx="30">
                  <c:v>20.66</c:v>
                </c:pt>
                <c:pt idx="31">
                  <c:v>20.82</c:v>
                </c:pt>
                <c:pt idx="32">
                  <c:v>20.41</c:v>
                </c:pt>
                <c:pt idx="33">
                  <c:v>20.57</c:v>
                </c:pt>
                <c:pt idx="34">
                  <c:v>20.170000000000002</c:v>
                </c:pt>
                <c:pt idx="35">
                  <c:v>20.58</c:v>
                </c:pt>
                <c:pt idx="36">
                  <c:v>20.27</c:v>
                </c:pt>
                <c:pt idx="37">
                  <c:v>20.69</c:v>
                </c:pt>
                <c:pt idx="38">
                  <c:v>20.7</c:v>
                </c:pt>
                <c:pt idx="39">
                  <c:v>20.93</c:v>
                </c:pt>
                <c:pt idx="40">
                  <c:v>21.7</c:v>
                </c:pt>
                <c:pt idx="41">
                  <c:v>20.91</c:v>
                </c:pt>
                <c:pt idx="42">
                  <c:v>20.75</c:v>
                </c:pt>
                <c:pt idx="43">
                  <c:v>20.61</c:v>
                </c:pt>
                <c:pt idx="44">
                  <c:v>20.3</c:v>
                </c:pt>
                <c:pt idx="45">
                  <c:v>21.12</c:v>
                </c:pt>
                <c:pt idx="46">
                  <c:v>21.31</c:v>
                </c:pt>
                <c:pt idx="47">
                  <c:v>20.92</c:v>
                </c:pt>
                <c:pt idx="48">
                  <c:v>20.73</c:v>
                </c:pt>
                <c:pt idx="49">
                  <c:v>19.8</c:v>
                </c:pt>
                <c:pt idx="50">
                  <c:v>20.75</c:v>
                </c:pt>
                <c:pt idx="51">
                  <c:v>20.82</c:v>
                </c:pt>
                <c:pt idx="52">
                  <c:v>21.34</c:v>
                </c:pt>
                <c:pt idx="53">
                  <c:v>20.77</c:v>
                </c:pt>
                <c:pt idx="54">
                  <c:v>20.65</c:v>
                </c:pt>
                <c:pt idx="55">
                  <c:v>20.55</c:v>
                </c:pt>
                <c:pt idx="56">
                  <c:v>19.96</c:v>
                </c:pt>
                <c:pt idx="57">
                  <c:v>21.34</c:v>
                </c:pt>
                <c:pt idx="58">
                  <c:v>20.89</c:v>
                </c:pt>
                <c:pt idx="59">
                  <c:v>20.6</c:v>
                </c:pt>
                <c:pt idx="60">
                  <c:v>20.46</c:v>
                </c:pt>
                <c:pt idx="61">
                  <c:v>20.54</c:v>
                </c:pt>
                <c:pt idx="62">
                  <c:v>21.2</c:v>
                </c:pt>
                <c:pt idx="63">
                  <c:v>20.2</c:v>
                </c:pt>
                <c:pt idx="64">
                  <c:v>20.58</c:v>
                </c:pt>
                <c:pt idx="65">
                  <c:v>20.66</c:v>
                </c:pt>
                <c:pt idx="66">
                  <c:v>20.440000000000001</c:v>
                </c:pt>
                <c:pt idx="67">
                  <c:v>20.36</c:v>
                </c:pt>
                <c:pt idx="68">
                  <c:v>21.17</c:v>
                </c:pt>
                <c:pt idx="69">
                  <c:v>21.15</c:v>
                </c:pt>
                <c:pt idx="70">
                  <c:v>20.83</c:v>
                </c:pt>
                <c:pt idx="71">
                  <c:v>20.2</c:v>
                </c:pt>
                <c:pt idx="72">
                  <c:v>20.82</c:v>
                </c:pt>
                <c:pt idx="73">
                  <c:v>20.52</c:v>
                </c:pt>
                <c:pt idx="74">
                  <c:v>20.2</c:v>
                </c:pt>
                <c:pt idx="75">
                  <c:v>20.48</c:v>
                </c:pt>
                <c:pt idx="76">
                  <c:v>21.24</c:v>
                </c:pt>
                <c:pt idx="77">
                  <c:v>20.82</c:v>
                </c:pt>
                <c:pt idx="78">
                  <c:v>20.69</c:v>
                </c:pt>
                <c:pt idx="79">
                  <c:v>21.2</c:v>
                </c:pt>
                <c:pt idx="80">
                  <c:v>21.01</c:v>
                </c:pt>
                <c:pt idx="81">
                  <c:v>20.329999999999998</c:v>
                </c:pt>
                <c:pt idx="82">
                  <c:v>20.37</c:v>
                </c:pt>
                <c:pt idx="83">
                  <c:v>20.68</c:v>
                </c:pt>
                <c:pt idx="84">
                  <c:v>21</c:v>
                </c:pt>
                <c:pt idx="85">
                  <c:v>20.38</c:v>
                </c:pt>
                <c:pt idx="86">
                  <c:v>21.17</c:v>
                </c:pt>
                <c:pt idx="87">
                  <c:v>21.56</c:v>
                </c:pt>
                <c:pt idx="88">
                  <c:v>20.38</c:v>
                </c:pt>
                <c:pt idx="89">
                  <c:v>21.13</c:v>
                </c:pt>
                <c:pt idx="90">
                  <c:v>20.79</c:v>
                </c:pt>
                <c:pt idx="91">
                  <c:v>20.59</c:v>
                </c:pt>
                <c:pt idx="92">
                  <c:v>21.27</c:v>
                </c:pt>
                <c:pt idx="93">
                  <c:v>21.01</c:v>
                </c:pt>
                <c:pt idx="94">
                  <c:v>20.85</c:v>
                </c:pt>
                <c:pt idx="95">
                  <c:v>20.72</c:v>
                </c:pt>
                <c:pt idx="96">
                  <c:v>20.25</c:v>
                </c:pt>
                <c:pt idx="97">
                  <c:v>21.35</c:v>
                </c:pt>
                <c:pt idx="98">
                  <c:v>21.68</c:v>
                </c:pt>
                <c:pt idx="99">
                  <c:v>21.52</c:v>
                </c:pt>
                <c:pt idx="100">
                  <c:v>21.66</c:v>
                </c:pt>
                <c:pt idx="101">
                  <c:v>21.76</c:v>
                </c:pt>
                <c:pt idx="102">
                  <c:v>21.22</c:v>
                </c:pt>
                <c:pt idx="103">
                  <c:v>21.89</c:v>
                </c:pt>
                <c:pt idx="104">
                  <c:v>20.98</c:v>
                </c:pt>
                <c:pt idx="105">
                  <c:v>21.65</c:v>
                </c:pt>
                <c:pt idx="106">
                  <c:v>21.62</c:v>
                </c:pt>
                <c:pt idx="107">
                  <c:v>21.46</c:v>
                </c:pt>
                <c:pt idx="108">
                  <c:v>21.99</c:v>
                </c:pt>
                <c:pt idx="109">
                  <c:v>22.06</c:v>
                </c:pt>
                <c:pt idx="110">
                  <c:v>21.66</c:v>
                </c:pt>
                <c:pt idx="111">
                  <c:v>21.1</c:v>
                </c:pt>
                <c:pt idx="112">
                  <c:v>21.67</c:v>
                </c:pt>
                <c:pt idx="113">
                  <c:v>21.3</c:v>
                </c:pt>
                <c:pt idx="114">
                  <c:v>21.57</c:v>
                </c:pt>
                <c:pt idx="115">
                  <c:v>22.19</c:v>
                </c:pt>
                <c:pt idx="116">
                  <c:v>21.92</c:v>
                </c:pt>
                <c:pt idx="117">
                  <c:v>22.22</c:v>
                </c:pt>
                <c:pt idx="118">
                  <c:v>21.41</c:v>
                </c:pt>
                <c:pt idx="119">
                  <c:v>21.26</c:v>
                </c:pt>
                <c:pt idx="120">
                  <c:v>22</c:v>
                </c:pt>
                <c:pt idx="121">
                  <c:v>22.19</c:v>
                </c:pt>
                <c:pt idx="122">
                  <c:v>21.86</c:v>
                </c:pt>
                <c:pt idx="123">
                  <c:v>22.11</c:v>
                </c:pt>
                <c:pt idx="124">
                  <c:v>22.35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C-4358-A740-5AF36894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818064"/>
        <c:axId val="1056817584"/>
      </c:lineChart>
      <c:catAx>
        <c:axId val="105681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Year</a:t>
                </a:r>
              </a:p>
            </c:rich>
          </c:tx>
          <c:layout>
            <c:manualLayout>
              <c:xMode val="edge"/>
              <c:yMode val="edge"/>
              <c:x val="0.51664609120285943"/>
              <c:y val="0.9050166209626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17584"/>
        <c:crosses val="autoZero"/>
        <c:auto val="1"/>
        <c:lblAlgn val="ctr"/>
        <c:lblOffset val="100"/>
        <c:noMultiLvlLbl val="0"/>
      </c:catAx>
      <c:valAx>
        <c:axId val="1056817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baseline="0"/>
                  <a:t>Average Surface Air Temperature (°C)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9.4904423877436202E-3"/>
              <c:y val="0.12815617532690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1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498474</xdr:colOff>
      <xdr:row>5</xdr:row>
      <xdr:rowOff>174624</xdr:rowOff>
    </xdr:from>
    <xdr:to>
      <xdr:col>15</xdr:col>
      <xdr:colOff>177798</xdr:colOff>
      <xdr:row>21</xdr:row>
      <xdr:rowOff>12699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22CD7F-5DEE-ACAB-6722-4FCD3D142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65A49A-F5C0-4864-889C-DE9E31A1C5FD}" autoFormatId="16" applyNumberFormats="0" applyBorderFormats="0" applyFontFormats="0" applyPatternFormats="0" applyAlignmentFormats="0" applyWidthHeightFormats="0">
  <queryTableRefresh nextId="6">
    <queryTableFields count="5">
      <queryTableField id="1" name="code" tableColumnId="1"/>
      <queryTableField id="2" name="name" tableColumnId="2"/>
      <queryTableField id="3" name="Date" tableColumnId="3"/>
      <queryTableField id="4" name="Temperature" tableColumnId="4"/>
      <queryTableField id="5" name="Yea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215DD-9179-4E29-8D8D-D1E9AB642DAE}" name="Table1_1" displayName="Table1_1" ref="A1:E126" tableType="queryTable" totalsRowShown="0">
  <autoFilter ref="A1:E126" xr:uid="{557215DD-9179-4E29-8D8D-D1E9AB642DAE}"/>
  <tableColumns count="5">
    <tableColumn id="1" xr3:uid="{44E5A5AC-1610-434B-8884-EA6DA6AAB741}" uniqueName="1" name="code" queryTableFieldId="1" dataDxfId="2"/>
    <tableColumn id="2" xr3:uid="{3908EF59-527C-4EE3-A4A3-2314E5BCB385}" uniqueName="2" name="name" queryTableFieldId="2" dataDxfId="1"/>
    <tableColumn id="3" xr3:uid="{087C6679-F501-4DFA-95CD-B9D2167A3782}" uniqueName="3" name="Date" queryTableFieldId="3" dataDxfId="0"/>
    <tableColumn id="4" xr3:uid="{E3DF652F-83A4-43B0-986C-B538FBDB01E4}" uniqueName="4" name="Temperature" queryTableFieldId="4"/>
    <tableColumn id="5" xr3:uid="{A5E23372-2A85-4B2C-8B80-6B80A7A73BF6}" uniqueName="5" name="Yea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8B212-207B-4694-8082-41B065FBF409}" name="Table1" displayName="Table1" ref="A1:DW2" totalsRowShown="0" headerRowDxfId="3">
  <autoFilter ref="A1:DW2" xr:uid="{04F8B212-207B-4694-8082-41B065FBF409}"/>
  <tableColumns count="127">
    <tableColumn id="1" xr3:uid="{E1DA0150-CD26-4D93-9D47-EDE3C7A8D616}" name="code"/>
    <tableColumn id="2" xr3:uid="{B0CD6381-203C-45F8-8D98-1AC24F142736}" name="name"/>
    <tableColumn id="3" xr3:uid="{E1768122-E7E3-4EBA-9ED9-0839A0D5F5EA}" name="1901-07"/>
    <tableColumn id="4" xr3:uid="{27E841BF-6DFB-4B9B-AEA6-EC619E4DEEAB}" name="1902-07"/>
    <tableColumn id="5" xr3:uid="{6FEFDBF9-B768-4465-B1C1-EF0EE8D1BE97}" name="1903-07"/>
    <tableColumn id="6" xr3:uid="{503151A0-51D4-4051-B347-244DF17082A8}" name="1904-07"/>
    <tableColumn id="7" xr3:uid="{796CBA12-AFFF-4204-94A9-F766B114DF8E}" name="1905-07"/>
    <tableColumn id="8" xr3:uid="{AD0F2927-9BAA-4A2B-87E3-9E07598171FF}" name="1906-07"/>
    <tableColumn id="9" xr3:uid="{0DBDAB5C-47CB-43AC-B985-8C5421B37D04}" name="1907-07"/>
    <tableColumn id="10" xr3:uid="{479D23CB-04DE-4056-AED3-3A592217BA84}" name="1908-07"/>
    <tableColumn id="11" xr3:uid="{CE5CF145-452F-4D5D-A3BD-12DADBCAA914}" name="1909-07"/>
    <tableColumn id="12" xr3:uid="{070E072A-467F-4C3E-B0B6-A7E89023F7A7}" name="1910-07"/>
    <tableColumn id="13" xr3:uid="{5606AF3D-5C06-41B8-9D98-6219B97CFCC3}" name="1911-07"/>
    <tableColumn id="14" xr3:uid="{1A404978-022D-47CA-B103-F3BC65FCC1C4}" name="1912-07"/>
    <tableColumn id="15" xr3:uid="{A35677F3-FD23-47B3-97E6-1B5598199125}" name="1913-07"/>
    <tableColumn id="16" xr3:uid="{79C7E55A-A980-4208-9CBF-14C235578853}" name="1914-07"/>
    <tableColumn id="17" xr3:uid="{56548918-492F-4F0D-829B-C939B0ED981E}" name="1915-07"/>
    <tableColumn id="18" xr3:uid="{082C7ECD-80B0-4EBE-98F9-09D1436CADBD}" name="1916-07"/>
    <tableColumn id="19" xr3:uid="{27A27BC6-3ED7-4A69-AAAE-CDD6C5929C5E}" name="1917-07"/>
    <tableColumn id="20" xr3:uid="{A0557697-297C-4C0F-8C15-EC4894A9CA61}" name="1918-07"/>
    <tableColumn id="21" xr3:uid="{253EFF09-B094-46E1-BCB4-641792CA5C68}" name="1919-07"/>
    <tableColumn id="22" xr3:uid="{D424F0A1-B31F-459C-8DC0-2524A4A70980}" name="1920-07"/>
    <tableColumn id="23" xr3:uid="{42F3982C-1F3C-41B9-AB0E-7DC907C95FEC}" name="1921-07"/>
    <tableColumn id="24" xr3:uid="{8891E401-7448-44CC-8591-6B54BE3193EC}" name="1922-07"/>
    <tableColumn id="25" xr3:uid="{0FA9248D-E654-4410-8A42-C97A0BC18D6D}" name="1923-07"/>
    <tableColumn id="26" xr3:uid="{57C094E2-513E-4FFB-B51F-4D35BFE6CA6D}" name="1924-07"/>
    <tableColumn id="27" xr3:uid="{0DDC0686-CDBD-4673-BA72-08C32A289486}" name="1925-07"/>
    <tableColumn id="28" xr3:uid="{64DCCC23-F6A4-4CC1-B813-382DD058592E}" name="1926-07"/>
    <tableColumn id="29" xr3:uid="{EE38107D-2B1E-4432-A03D-91EC7E21DF87}" name="1927-07"/>
    <tableColumn id="30" xr3:uid="{00505779-C852-4D99-9D4A-3AE011D5AAA5}" name="1928-07"/>
    <tableColumn id="31" xr3:uid="{920C24DF-8F0C-4DDF-AC2E-5C3F88B0E3D4}" name="1929-07"/>
    <tableColumn id="32" xr3:uid="{4ABEC029-86F7-4BE2-8AC3-F0774E5C4071}" name="1930-07"/>
    <tableColumn id="33" xr3:uid="{1605E60B-DB69-409D-B7FD-16F915903682}" name="1931-07"/>
    <tableColumn id="34" xr3:uid="{5EB01E6B-2987-4E69-BDB1-9BC8B0A92829}" name="1932-07"/>
    <tableColumn id="35" xr3:uid="{E340C6E6-0D06-406E-B894-B215F1B53212}" name="1933-07"/>
    <tableColumn id="36" xr3:uid="{735D925E-18F5-4992-AFE7-779E1B8D5E07}" name="1934-07"/>
    <tableColumn id="37" xr3:uid="{ADFC2E92-2579-4687-BD14-3EC2C7A2B1D7}" name="1935-07"/>
    <tableColumn id="38" xr3:uid="{B730558F-5D57-46BF-BEB5-D0C0A6F18EFA}" name="1936-07"/>
    <tableColumn id="39" xr3:uid="{3BDE0697-4981-443B-BB81-7837CCC91A72}" name="1937-07"/>
    <tableColumn id="40" xr3:uid="{991B527E-8E32-4293-80A9-F63FE09212DC}" name="1938-07"/>
    <tableColumn id="41" xr3:uid="{86BB8531-9097-4129-8B2B-87B52D40FAE7}" name="1939-07"/>
    <tableColumn id="42" xr3:uid="{AB02E139-8C4F-4FF3-A62D-B3CA94F55F5D}" name="1940-07"/>
    <tableColumn id="43" xr3:uid="{FF3ED632-F35F-4095-B4FB-8EAF865E0331}" name="1941-07"/>
    <tableColumn id="44" xr3:uid="{E0BE143D-99E0-4406-8D17-4C1B18728BEE}" name="1942-07"/>
    <tableColumn id="45" xr3:uid="{16DB8B0D-E508-4DC7-8F21-BE6867C8D884}" name="1943-07"/>
    <tableColumn id="46" xr3:uid="{4852808A-8E74-4A78-9AF6-5E9D21A7FAFA}" name="1944-07"/>
    <tableColumn id="47" xr3:uid="{21B16D94-F520-4370-A897-E3C95438886A}" name="1945-07"/>
    <tableColumn id="48" xr3:uid="{33A22717-64A5-4AF6-AC09-1071DB20DF9C}" name="1946-07"/>
    <tableColumn id="49" xr3:uid="{D62C756A-BC09-4673-8FA8-DE38DAAD6356}" name="1947-07"/>
    <tableColumn id="50" xr3:uid="{430139EE-C8D1-4671-8461-FF1F6502E15A}" name="1948-07"/>
    <tableColumn id="51" xr3:uid="{354E4416-2166-4BCA-8B49-E53E8B34ACEF}" name="1949-07"/>
    <tableColumn id="52" xr3:uid="{5941EAC3-A8C8-4206-A771-C245C90A9DBF}" name="1950-07"/>
    <tableColumn id="53" xr3:uid="{6076F190-3CA7-431E-A87D-CA5D06C16410}" name="1951-07"/>
    <tableColumn id="54" xr3:uid="{D61E7E5A-C885-4B38-A191-4E075ED57E08}" name="1952-07"/>
    <tableColumn id="55" xr3:uid="{6AAAA428-247E-40E7-9E66-183410C2FE01}" name="1953-07"/>
    <tableColumn id="56" xr3:uid="{719DE15F-FAFF-43D3-BA98-DABA358211BF}" name="1954-07"/>
    <tableColumn id="57" xr3:uid="{D9C81D82-E65D-4576-9FEA-E13AF7DC1761}" name="1955-07"/>
    <tableColumn id="58" xr3:uid="{1250FE61-42E3-46FE-A988-8F2857818B8B}" name="1956-07"/>
    <tableColumn id="59" xr3:uid="{5BCC2AD3-E7F4-4381-A176-10CA0FB5AF3F}" name="1957-07"/>
    <tableColumn id="60" xr3:uid="{4E72F7BF-4D90-4137-974B-F292A31B0DF5}" name="1958-07"/>
    <tableColumn id="61" xr3:uid="{6B5320E1-ED8C-4A8A-A413-BAE562A586C3}" name="1959-07"/>
    <tableColumn id="62" xr3:uid="{42461A9A-B1B3-4A5D-BAEB-BD629C440170}" name="1960-07"/>
    <tableColumn id="63" xr3:uid="{EF3C293E-E510-4999-BC3B-026546C7DF8E}" name="1961-07"/>
    <tableColumn id="64" xr3:uid="{4ADE7573-F61F-49DA-BC56-A505958A517B}" name="1962-07"/>
    <tableColumn id="65" xr3:uid="{73B5A1B0-CA62-44AC-9B18-B814611052E2}" name="1963-07"/>
    <tableColumn id="66" xr3:uid="{8F030741-DC1A-49B9-9DFA-4136784DCA3D}" name="1964-07"/>
    <tableColumn id="67" xr3:uid="{67FDBEF7-DA40-4605-B8CB-3DDBB9DA99E6}" name="1965-07"/>
    <tableColumn id="68" xr3:uid="{92E81491-46D7-4E5A-A0A1-0186A95A9778}" name="1966-07"/>
    <tableColumn id="69" xr3:uid="{3C44E6FB-0B10-40CD-B7A1-95BC9D5355CD}" name="1967-07"/>
    <tableColumn id="70" xr3:uid="{DB1B58E0-36EE-4EB1-8273-9738E38B86E1}" name="1968-07"/>
    <tableColumn id="71" xr3:uid="{848A3BFD-88FF-4F67-9043-FBC2B1106A4E}" name="1969-07"/>
    <tableColumn id="72" xr3:uid="{E09091DD-87ED-4AB4-9A49-C919CF96AC94}" name="1970-07"/>
    <tableColumn id="73" xr3:uid="{9250C570-7110-44F4-A098-506919E7067B}" name="1971-07"/>
    <tableColumn id="74" xr3:uid="{9D5F1C1B-D33C-4E7A-B541-FB4F09C9BEE0}" name="1972-07"/>
    <tableColumn id="75" xr3:uid="{FEBDD4C0-0632-4AA0-89CC-AF444E1872F2}" name="1973-07"/>
    <tableColumn id="76" xr3:uid="{9E755B6F-8B10-445A-A9D9-12E762E1C7DE}" name="1974-07"/>
    <tableColumn id="77" xr3:uid="{FB4F3A08-EA35-4567-83D4-8D77B1923C83}" name="1975-07"/>
    <tableColumn id="78" xr3:uid="{EEF9B062-D12C-4C85-9E22-51178EC6C4F9}" name="1976-07"/>
    <tableColumn id="79" xr3:uid="{BAB7D121-2500-4492-80DD-B7DA9B287054}" name="1977-07"/>
    <tableColumn id="80" xr3:uid="{213C5B22-BC6D-4C7D-BF6B-B3B01559F8F2}" name="1978-07"/>
    <tableColumn id="81" xr3:uid="{B78C62C2-3491-4222-AC80-41388EF7605A}" name="1979-07"/>
    <tableColumn id="82" xr3:uid="{4907D862-C26A-4489-A6F7-FD977B45A6C9}" name="1980-07"/>
    <tableColumn id="83" xr3:uid="{305F7841-F771-4C46-BE3C-F8753DE10F75}" name="1981-07"/>
    <tableColumn id="84" xr3:uid="{99BC2F1E-000B-4EE1-B921-DB185A853040}" name="1982-07"/>
    <tableColumn id="85" xr3:uid="{72FC32F7-F9A8-4F98-8EE2-82E25371DBBD}" name="1983-07"/>
    <tableColumn id="86" xr3:uid="{7A9D3046-FBDC-40B4-BCC1-3D9D0911B1AF}" name="1984-07"/>
    <tableColumn id="87" xr3:uid="{B71A72E4-F7DD-476F-AAB1-18060B2F4D5C}" name="1985-07"/>
    <tableColumn id="88" xr3:uid="{F1247DB1-1306-4737-869E-89C4FBD0E1E8}" name="1986-07"/>
    <tableColumn id="89" xr3:uid="{E5B478E5-C1CC-4B9E-A110-737CFF4ACBE7}" name="1987-07"/>
    <tableColumn id="90" xr3:uid="{66033F3F-A633-487F-840D-C2591FDDD7FC}" name="1988-07"/>
    <tableColumn id="91" xr3:uid="{74A26ABE-45BB-4E5D-BFFD-37FD0C2F2E6D}" name="1989-07"/>
    <tableColumn id="92" xr3:uid="{E516D4E0-EB2D-45CE-9D08-D728BE1C3B72}" name="1990-07"/>
    <tableColumn id="93" xr3:uid="{AE3DEE51-9898-4394-9298-57AC17699DA6}" name="1991-07"/>
    <tableColumn id="94" xr3:uid="{978DA26B-6269-474F-9D23-F86BF7C1CF4C}" name="1992-07"/>
    <tableColumn id="95" xr3:uid="{E4D84388-0891-4CB4-BF35-B2A6894DD44E}" name="1993-07"/>
    <tableColumn id="96" xr3:uid="{038FBA3C-F7B6-4203-9B79-E640FD4F527A}" name="1994-07"/>
    <tableColumn id="97" xr3:uid="{5C04B2B6-16CC-4829-8A55-CA9E5E6BA0AE}" name="1995-07"/>
    <tableColumn id="98" xr3:uid="{2BFE3D7F-A121-42AA-80F9-CAFC1BACC70C}" name="1996-07"/>
    <tableColumn id="99" xr3:uid="{E3DAF8E6-62F7-4631-BCE2-E6D683B34B80}" name="1997-07"/>
    <tableColumn id="100" xr3:uid="{A2EE59F0-F2F0-4D39-BDDF-C8FD41F05E42}" name="1998-07"/>
    <tableColumn id="101" xr3:uid="{CC606B03-5DFC-4297-B174-98E34EFB2B59}" name="1999-07"/>
    <tableColumn id="102" xr3:uid="{A9635E33-6504-4F55-B857-64962CB30AC0}" name="2000-07"/>
    <tableColumn id="103" xr3:uid="{3F9EC049-6EF9-488D-AB15-608F4A5F6D8C}" name="2001-07"/>
    <tableColumn id="104" xr3:uid="{B5435D5B-44CD-435E-B290-AB43C02C0021}" name="2002-07"/>
    <tableColumn id="105" xr3:uid="{A11F5DAB-CDC7-4587-B0EF-67A961E63BA0}" name="2003-07"/>
    <tableColumn id="106" xr3:uid="{07149394-82D4-469B-96C1-46334B82F604}" name="2004-07"/>
    <tableColumn id="107" xr3:uid="{437C0D78-85B1-42DD-8DD9-4026B43D294E}" name="2005-07"/>
    <tableColumn id="108" xr3:uid="{9E6B556B-EF17-4772-868B-54BBAFA01858}" name="2006-07"/>
    <tableColumn id="109" xr3:uid="{DC485AD2-D3D1-4836-AD09-1E948F23C028}" name="2007-07"/>
    <tableColumn id="110" xr3:uid="{F21F85B6-6E30-4552-B238-4F4AB3D0BDAB}" name="2008-07"/>
    <tableColumn id="111" xr3:uid="{6CCEDCB3-0B36-4258-88F7-F8FAE00FF5DD}" name="2009-07"/>
    <tableColumn id="112" xr3:uid="{7B468B2C-648E-4EFB-AB98-2FFD129D1797}" name="2010-07"/>
    <tableColumn id="113" xr3:uid="{A345A6F6-FFEC-4415-8401-0BC73AD6C103}" name="2011-07"/>
    <tableColumn id="114" xr3:uid="{0E55C1E5-CF98-401E-A47E-9B3FCC5319B2}" name="2012-07"/>
    <tableColumn id="115" xr3:uid="{94C16F9E-3D25-4D59-9A2F-E79C3CC81FB5}" name="2013-07"/>
    <tableColumn id="116" xr3:uid="{B07CECA9-2201-4147-A908-14F5C0281858}" name="2014-07"/>
    <tableColumn id="117" xr3:uid="{28E88ACD-3384-4505-8523-99FD7B2FE7BA}" name="2015-07"/>
    <tableColumn id="118" xr3:uid="{DDBF25A0-4AE1-4F89-9CFA-1265E8DF1B8D}" name="2016-07"/>
    <tableColumn id="119" xr3:uid="{3F84CCA6-7F85-4A96-B094-79B0EC3C093A}" name="2017-07"/>
    <tableColumn id="120" xr3:uid="{ACA47214-9147-49BA-88EC-26FA014E5A52}" name="2018-07"/>
    <tableColumn id="121" xr3:uid="{D1833568-28FD-4A85-B430-3E29D65DE811}" name="2019-07"/>
    <tableColumn id="122" xr3:uid="{0777F5FD-3EB0-41EA-B71A-D5321CBD4129}" name="2020-07"/>
    <tableColumn id="123" xr3:uid="{2A01D6A9-5E11-44D3-B58B-6106AC36640E}" name="2021-07"/>
    <tableColumn id="124" xr3:uid="{48C3203E-F41A-44DE-ABB6-2CDA1D27FB1E}" name="2022-07"/>
    <tableColumn id="125" xr3:uid="{6A65BBAB-61C2-4F5B-9136-FAFDEC624174}" name="2023-07"/>
    <tableColumn id="126" xr3:uid="{ABD864A5-8D04-49D8-9CF9-E0D01993FD30}" name="2024-07"/>
    <tableColumn id="127" xr3:uid="{3D7063BA-DD3E-4B59-9CAE-83B7B781D662}" name="2025-0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2C4D-9A3A-42A9-A346-5FE3E1D02958}">
  <dimension ref="A1:K126"/>
  <sheetViews>
    <sheetView tabSelected="1" workbookViewId="0">
      <selection activeCell="O6" sqref="O6"/>
    </sheetView>
  </sheetViews>
  <sheetFormatPr defaultRowHeight="14.75" x14ac:dyDescent="0.75"/>
  <cols>
    <col min="1" max="1" width="6.953125" bestFit="1" customWidth="1"/>
    <col min="2" max="2" width="7.6796875" bestFit="1" customWidth="1"/>
    <col min="3" max="3" width="7.26953125" bestFit="1" customWidth="1"/>
    <col min="4" max="4" width="13.90625" bestFit="1" customWidth="1"/>
    <col min="5" max="5" width="6.7265625" bestFit="1" customWidth="1"/>
    <col min="10" max="10" width="18.2265625" customWidth="1"/>
  </cols>
  <sheetData>
    <row r="1" spans="1:11" x14ac:dyDescent="0.75">
      <c r="A1" t="s">
        <v>0</v>
      </c>
      <c r="B1" t="s">
        <v>1</v>
      </c>
      <c r="C1" t="s">
        <v>131</v>
      </c>
      <c r="D1" t="s">
        <v>130</v>
      </c>
      <c r="E1" t="s">
        <v>129</v>
      </c>
    </row>
    <row r="2" spans="1:11" x14ac:dyDescent="0.75">
      <c r="A2" s="2" t="s">
        <v>127</v>
      </c>
      <c r="B2" s="2" t="s">
        <v>128</v>
      </c>
      <c r="C2" s="2" t="s">
        <v>2</v>
      </c>
      <c r="D2">
        <v>20.99</v>
      </c>
      <c r="E2">
        <v>1901</v>
      </c>
      <c r="J2" s="3" t="s">
        <v>132</v>
      </c>
      <c r="K2">
        <f>AVERAGEIFS($D$2:$D$126,$E$2:$E$126,"&gt;=1901",$E$2:$E$126,"&lt;=1930")</f>
        <v>20.631000000000004</v>
      </c>
    </row>
    <row r="3" spans="1:11" x14ac:dyDescent="0.75">
      <c r="A3" s="2" t="s">
        <v>127</v>
      </c>
      <c r="B3" s="2" t="s">
        <v>128</v>
      </c>
      <c r="C3" s="2" t="s">
        <v>3</v>
      </c>
      <c r="D3">
        <v>21.2</v>
      </c>
      <c r="E3">
        <v>1902</v>
      </c>
      <c r="J3" s="3" t="s">
        <v>133</v>
      </c>
      <c r="K3">
        <f>AVERAGEIFS($D$2:$D$126,$E$2:$E$126,"&gt;=1996",$E$2:$E$126,"&lt;=2025")</f>
        <v>21.620666666666672</v>
      </c>
    </row>
    <row r="4" spans="1:11" x14ac:dyDescent="0.75">
      <c r="A4" s="2" t="s">
        <v>127</v>
      </c>
      <c r="B4" s="2" t="s">
        <v>128</v>
      </c>
      <c r="C4" s="2" t="s">
        <v>4</v>
      </c>
      <c r="D4">
        <v>20.440000000000001</v>
      </c>
      <c r="E4">
        <v>1903</v>
      </c>
      <c r="J4" t="s">
        <v>134</v>
      </c>
      <c r="K4">
        <f>K3-K2</f>
        <v>0.98966666666666825</v>
      </c>
    </row>
    <row r="5" spans="1:11" x14ac:dyDescent="0.75">
      <c r="A5" s="2" t="s">
        <v>127</v>
      </c>
      <c r="B5" s="2" t="s">
        <v>128</v>
      </c>
      <c r="C5" s="2" t="s">
        <v>5</v>
      </c>
      <c r="D5">
        <v>20.72</v>
      </c>
      <c r="E5">
        <v>1904</v>
      </c>
    </row>
    <row r="6" spans="1:11" x14ac:dyDescent="0.75">
      <c r="A6" s="2" t="s">
        <v>127</v>
      </c>
      <c r="B6" s="2" t="s">
        <v>128</v>
      </c>
      <c r="C6" s="2" t="s">
        <v>6</v>
      </c>
      <c r="D6">
        <v>20.46</v>
      </c>
      <c r="E6">
        <v>1905</v>
      </c>
    </row>
    <row r="7" spans="1:11" x14ac:dyDescent="0.75">
      <c r="A7" s="2" t="s">
        <v>127</v>
      </c>
      <c r="B7" s="2" t="s">
        <v>128</v>
      </c>
      <c r="C7" s="2" t="s">
        <v>7</v>
      </c>
      <c r="D7">
        <v>20.67</v>
      </c>
      <c r="E7">
        <v>1906</v>
      </c>
    </row>
    <row r="8" spans="1:11" x14ac:dyDescent="0.75">
      <c r="A8" s="2" t="s">
        <v>127</v>
      </c>
      <c r="B8" s="2" t="s">
        <v>128</v>
      </c>
      <c r="C8" s="2" t="s">
        <v>8</v>
      </c>
      <c r="D8">
        <v>20.46</v>
      </c>
      <c r="E8">
        <v>1907</v>
      </c>
    </row>
    <row r="9" spans="1:11" x14ac:dyDescent="0.75">
      <c r="A9" s="2" t="s">
        <v>127</v>
      </c>
      <c r="B9" s="2" t="s">
        <v>128</v>
      </c>
      <c r="C9" s="2" t="s">
        <v>9</v>
      </c>
      <c r="D9">
        <v>20.440000000000001</v>
      </c>
      <c r="E9">
        <v>1908</v>
      </c>
    </row>
    <row r="10" spans="1:11" x14ac:dyDescent="0.75">
      <c r="A10" s="2" t="s">
        <v>127</v>
      </c>
      <c r="B10" s="2" t="s">
        <v>128</v>
      </c>
      <c r="C10" s="2" t="s">
        <v>10</v>
      </c>
      <c r="D10">
        <v>20.350000000000001</v>
      </c>
      <c r="E10">
        <v>1909</v>
      </c>
    </row>
    <row r="11" spans="1:11" x14ac:dyDescent="0.75">
      <c r="A11" s="2" t="s">
        <v>127</v>
      </c>
      <c r="B11" s="2" t="s">
        <v>128</v>
      </c>
      <c r="C11" s="2" t="s">
        <v>11</v>
      </c>
      <c r="D11">
        <v>20.37</v>
      </c>
      <c r="E11">
        <v>1910</v>
      </c>
    </row>
    <row r="12" spans="1:11" x14ac:dyDescent="0.75">
      <c r="A12" s="2" t="s">
        <v>127</v>
      </c>
      <c r="B12" s="2" t="s">
        <v>128</v>
      </c>
      <c r="C12" s="2" t="s">
        <v>12</v>
      </c>
      <c r="D12">
        <v>20.68</v>
      </c>
      <c r="E12">
        <v>1911</v>
      </c>
    </row>
    <row r="13" spans="1:11" x14ac:dyDescent="0.75">
      <c r="A13" s="2" t="s">
        <v>127</v>
      </c>
      <c r="B13" s="2" t="s">
        <v>128</v>
      </c>
      <c r="C13" s="2" t="s">
        <v>13</v>
      </c>
      <c r="D13">
        <v>20.81</v>
      </c>
      <c r="E13">
        <v>1912</v>
      </c>
    </row>
    <row r="14" spans="1:11" x14ac:dyDescent="0.75">
      <c r="A14" s="2" t="s">
        <v>127</v>
      </c>
      <c r="B14" s="2" t="s">
        <v>128</v>
      </c>
      <c r="C14" s="2" t="s">
        <v>14</v>
      </c>
      <c r="D14">
        <v>20.53</v>
      </c>
      <c r="E14">
        <v>1913</v>
      </c>
    </row>
    <row r="15" spans="1:11" x14ac:dyDescent="0.75">
      <c r="A15" s="2" t="s">
        <v>127</v>
      </c>
      <c r="B15" s="2" t="s">
        <v>128</v>
      </c>
      <c r="C15" s="2" t="s">
        <v>15</v>
      </c>
      <c r="D15">
        <v>20.79</v>
      </c>
      <c r="E15">
        <v>1914</v>
      </c>
    </row>
    <row r="16" spans="1:11" x14ac:dyDescent="0.75">
      <c r="A16" s="2" t="s">
        <v>127</v>
      </c>
      <c r="B16" s="2" t="s">
        <v>128</v>
      </c>
      <c r="C16" s="2" t="s">
        <v>16</v>
      </c>
      <c r="D16">
        <v>21.26</v>
      </c>
      <c r="E16">
        <v>1915</v>
      </c>
    </row>
    <row r="17" spans="1:5" x14ac:dyDescent="0.75">
      <c r="A17" s="2" t="s">
        <v>127</v>
      </c>
      <c r="B17" s="2" t="s">
        <v>128</v>
      </c>
      <c r="C17" s="2" t="s">
        <v>17</v>
      </c>
      <c r="D17">
        <v>20.69</v>
      </c>
      <c r="E17">
        <v>1916</v>
      </c>
    </row>
    <row r="18" spans="1:5" x14ac:dyDescent="0.75">
      <c r="A18" s="2" t="s">
        <v>127</v>
      </c>
      <c r="B18" s="2" t="s">
        <v>128</v>
      </c>
      <c r="C18" s="2" t="s">
        <v>18</v>
      </c>
      <c r="D18">
        <v>20.23</v>
      </c>
      <c r="E18">
        <v>1917</v>
      </c>
    </row>
    <row r="19" spans="1:5" x14ac:dyDescent="0.75">
      <c r="A19" s="2" t="s">
        <v>127</v>
      </c>
      <c r="B19" s="2" t="s">
        <v>128</v>
      </c>
      <c r="C19" s="2" t="s">
        <v>19</v>
      </c>
      <c r="D19">
        <v>20.63</v>
      </c>
      <c r="E19">
        <v>1918</v>
      </c>
    </row>
    <row r="20" spans="1:5" x14ac:dyDescent="0.75">
      <c r="A20" s="2" t="s">
        <v>127</v>
      </c>
      <c r="B20" s="2" t="s">
        <v>128</v>
      </c>
      <c r="C20" s="2" t="s">
        <v>20</v>
      </c>
      <c r="D20">
        <v>20.45</v>
      </c>
      <c r="E20">
        <v>1919</v>
      </c>
    </row>
    <row r="21" spans="1:5" x14ac:dyDescent="0.75">
      <c r="A21" s="2" t="s">
        <v>127</v>
      </c>
      <c r="B21" s="2" t="s">
        <v>128</v>
      </c>
      <c r="C21" s="2" t="s">
        <v>21</v>
      </c>
      <c r="D21">
        <v>20.399999999999999</v>
      </c>
      <c r="E21">
        <v>1920</v>
      </c>
    </row>
    <row r="22" spans="1:5" x14ac:dyDescent="0.75">
      <c r="A22" s="2" t="s">
        <v>127</v>
      </c>
      <c r="B22" s="2" t="s">
        <v>128</v>
      </c>
      <c r="C22" s="2" t="s">
        <v>22</v>
      </c>
      <c r="D22">
        <v>21.17</v>
      </c>
      <c r="E22">
        <v>1921</v>
      </c>
    </row>
    <row r="23" spans="1:5" x14ac:dyDescent="0.75">
      <c r="A23" s="2" t="s">
        <v>127</v>
      </c>
      <c r="B23" s="2" t="s">
        <v>128</v>
      </c>
      <c r="C23" s="2" t="s">
        <v>23</v>
      </c>
      <c r="D23">
        <v>20.86</v>
      </c>
      <c r="E23">
        <v>1922</v>
      </c>
    </row>
    <row r="24" spans="1:5" x14ac:dyDescent="0.75">
      <c r="A24" s="2" t="s">
        <v>127</v>
      </c>
      <c r="B24" s="2" t="s">
        <v>128</v>
      </c>
      <c r="C24" s="2" t="s">
        <v>24</v>
      </c>
      <c r="D24">
        <v>20.52</v>
      </c>
      <c r="E24">
        <v>1923</v>
      </c>
    </row>
    <row r="25" spans="1:5" x14ac:dyDescent="0.75">
      <c r="A25" s="2" t="s">
        <v>127</v>
      </c>
      <c r="B25" s="2" t="s">
        <v>128</v>
      </c>
      <c r="C25" s="2" t="s">
        <v>25</v>
      </c>
      <c r="D25">
        <v>20.61</v>
      </c>
      <c r="E25">
        <v>1924</v>
      </c>
    </row>
    <row r="26" spans="1:5" x14ac:dyDescent="0.75">
      <c r="A26" s="2" t="s">
        <v>127</v>
      </c>
      <c r="B26" s="2" t="s">
        <v>128</v>
      </c>
      <c r="C26" s="2" t="s">
        <v>26</v>
      </c>
      <c r="D26">
        <v>20.69</v>
      </c>
      <c r="E26">
        <v>1925</v>
      </c>
    </row>
    <row r="27" spans="1:5" x14ac:dyDescent="0.75">
      <c r="A27" s="2" t="s">
        <v>127</v>
      </c>
      <c r="B27" s="2" t="s">
        <v>128</v>
      </c>
      <c r="C27" s="2" t="s">
        <v>27</v>
      </c>
      <c r="D27">
        <v>20.48</v>
      </c>
      <c r="E27">
        <v>1926</v>
      </c>
    </row>
    <row r="28" spans="1:5" x14ac:dyDescent="0.75">
      <c r="A28" s="2" t="s">
        <v>127</v>
      </c>
      <c r="B28" s="2" t="s">
        <v>128</v>
      </c>
      <c r="C28" s="2" t="s">
        <v>28</v>
      </c>
      <c r="D28">
        <v>20.350000000000001</v>
      </c>
      <c r="E28">
        <v>1927</v>
      </c>
    </row>
    <row r="29" spans="1:5" x14ac:dyDescent="0.75">
      <c r="A29" s="2" t="s">
        <v>127</v>
      </c>
      <c r="B29" s="2" t="s">
        <v>128</v>
      </c>
      <c r="C29" s="2" t="s">
        <v>29</v>
      </c>
      <c r="D29">
        <v>20.67</v>
      </c>
      <c r="E29">
        <v>1928</v>
      </c>
    </row>
    <row r="30" spans="1:5" x14ac:dyDescent="0.75">
      <c r="A30" s="2" t="s">
        <v>127</v>
      </c>
      <c r="B30" s="2" t="s">
        <v>128</v>
      </c>
      <c r="C30" s="2" t="s">
        <v>30</v>
      </c>
      <c r="D30">
        <v>20.61</v>
      </c>
      <c r="E30">
        <v>1929</v>
      </c>
    </row>
    <row r="31" spans="1:5" x14ac:dyDescent="0.75">
      <c r="A31" s="2" t="s">
        <v>127</v>
      </c>
      <c r="B31" s="2" t="s">
        <v>128</v>
      </c>
      <c r="C31" s="2" t="s">
        <v>31</v>
      </c>
      <c r="D31">
        <v>20.399999999999999</v>
      </c>
      <c r="E31">
        <v>1930</v>
      </c>
    </row>
    <row r="32" spans="1:5" x14ac:dyDescent="0.75">
      <c r="A32" s="2" t="s">
        <v>127</v>
      </c>
      <c r="B32" s="2" t="s">
        <v>128</v>
      </c>
      <c r="C32" s="2" t="s">
        <v>32</v>
      </c>
      <c r="D32">
        <v>20.66</v>
      </c>
      <c r="E32">
        <v>1931</v>
      </c>
    </row>
    <row r="33" spans="1:5" x14ac:dyDescent="0.75">
      <c r="A33" s="2" t="s">
        <v>127</v>
      </c>
      <c r="B33" s="2" t="s">
        <v>128</v>
      </c>
      <c r="C33" s="2" t="s">
        <v>33</v>
      </c>
      <c r="D33">
        <v>20.82</v>
      </c>
      <c r="E33">
        <v>1932</v>
      </c>
    </row>
    <row r="34" spans="1:5" x14ac:dyDescent="0.75">
      <c r="A34" s="2" t="s">
        <v>127</v>
      </c>
      <c r="B34" s="2" t="s">
        <v>128</v>
      </c>
      <c r="C34" s="2" t="s">
        <v>34</v>
      </c>
      <c r="D34">
        <v>20.41</v>
      </c>
      <c r="E34">
        <v>1933</v>
      </c>
    </row>
    <row r="35" spans="1:5" x14ac:dyDescent="0.75">
      <c r="A35" s="2" t="s">
        <v>127</v>
      </c>
      <c r="B35" s="2" t="s">
        <v>128</v>
      </c>
      <c r="C35" s="2" t="s">
        <v>35</v>
      </c>
      <c r="D35">
        <v>20.57</v>
      </c>
      <c r="E35">
        <v>1934</v>
      </c>
    </row>
    <row r="36" spans="1:5" x14ac:dyDescent="0.75">
      <c r="A36" s="2" t="s">
        <v>127</v>
      </c>
      <c r="B36" s="2" t="s">
        <v>128</v>
      </c>
      <c r="C36" s="2" t="s">
        <v>36</v>
      </c>
      <c r="D36">
        <v>20.170000000000002</v>
      </c>
      <c r="E36">
        <v>1935</v>
      </c>
    </row>
    <row r="37" spans="1:5" x14ac:dyDescent="0.75">
      <c r="A37" s="2" t="s">
        <v>127</v>
      </c>
      <c r="B37" s="2" t="s">
        <v>128</v>
      </c>
      <c r="C37" s="2" t="s">
        <v>37</v>
      </c>
      <c r="D37">
        <v>20.58</v>
      </c>
      <c r="E37">
        <v>1936</v>
      </c>
    </row>
    <row r="38" spans="1:5" x14ac:dyDescent="0.75">
      <c r="A38" s="2" t="s">
        <v>127</v>
      </c>
      <c r="B38" s="2" t="s">
        <v>128</v>
      </c>
      <c r="C38" s="2" t="s">
        <v>38</v>
      </c>
      <c r="D38">
        <v>20.27</v>
      </c>
      <c r="E38">
        <v>1937</v>
      </c>
    </row>
    <row r="39" spans="1:5" x14ac:dyDescent="0.75">
      <c r="A39" s="2" t="s">
        <v>127</v>
      </c>
      <c r="B39" s="2" t="s">
        <v>128</v>
      </c>
      <c r="C39" s="2" t="s">
        <v>39</v>
      </c>
      <c r="D39">
        <v>20.69</v>
      </c>
      <c r="E39">
        <v>1938</v>
      </c>
    </row>
    <row r="40" spans="1:5" x14ac:dyDescent="0.75">
      <c r="A40" s="2" t="s">
        <v>127</v>
      </c>
      <c r="B40" s="2" t="s">
        <v>128</v>
      </c>
      <c r="C40" s="2" t="s">
        <v>40</v>
      </c>
      <c r="D40">
        <v>20.7</v>
      </c>
      <c r="E40">
        <v>1939</v>
      </c>
    </row>
    <row r="41" spans="1:5" x14ac:dyDescent="0.75">
      <c r="A41" s="2" t="s">
        <v>127</v>
      </c>
      <c r="B41" s="2" t="s">
        <v>128</v>
      </c>
      <c r="C41" s="2" t="s">
        <v>41</v>
      </c>
      <c r="D41">
        <v>20.93</v>
      </c>
      <c r="E41">
        <v>1940</v>
      </c>
    </row>
    <row r="42" spans="1:5" x14ac:dyDescent="0.75">
      <c r="A42" s="2" t="s">
        <v>127</v>
      </c>
      <c r="B42" s="2" t="s">
        <v>128</v>
      </c>
      <c r="C42" s="2" t="s">
        <v>42</v>
      </c>
      <c r="D42">
        <v>21.7</v>
      </c>
      <c r="E42">
        <v>1941</v>
      </c>
    </row>
    <row r="43" spans="1:5" x14ac:dyDescent="0.75">
      <c r="A43" s="2" t="s">
        <v>127</v>
      </c>
      <c r="B43" s="2" t="s">
        <v>128</v>
      </c>
      <c r="C43" s="2" t="s">
        <v>43</v>
      </c>
      <c r="D43">
        <v>20.91</v>
      </c>
      <c r="E43">
        <v>1942</v>
      </c>
    </row>
    <row r="44" spans="1:5" x14ac:dyDescent="0.75">
      <c r="A44" s="2" t="s">
        <v>127</v>
      </c>
      <c r="B44" s="2" t="s">
        <v>128</v>
      </c>
      <c r="C44" s="2" t="s">
        <v>44</v>
      </c>
      <c r="D44">
        <v>20.75</v>
      </c>
      <c r="E44">
        <v>1943</v>
      </c>
    </row>
    <row r="45" spans="1:5" x14ac:dyDescent="0.75">
      <c r="A45" s="2" t="s">
        <v>127</v>
      </c>
      <c r="B45" s="2" t="s">
        <v>128</v>
      </c>
      <c r="C45" s="2" t="s">
        <v>45</v>
      </c>
      <c r="D45">
        <v>20.61</v>
      </c>
      <c r="E45">
        <v>1944</v>
      </c>
    </row>
    <row r="46" spans="1:5" x14ac:dyDescent="0.75">
      <c r="A46" s="2" t="s">
        <v>127</v>
      </c>
      <c r="B46" s="2" t="s">
        <v>128</v>
      </c>
      <c r="C46" s="2" t="s">
        <v>46</v>
      </c>
      <c r="D46">
        <v>20.3</v>
      </c>
      <c r="E46">
        <v>1945</v>
      </c>
    </row>
    <row r="47" spans="1:5" x14ac:dyDescent="0.75">
      <c r="A47" s="2" t="s">
        <v>127</v>
      </c>
      <c r="B47" s="2" t="s">
        <v>128</v>
      </c>
      <c r="C47" s="2" t="s">
        <v>47</v>
      </c>
      <c r="D47">
        <v>21.12</v>
      </c>
      <c r="E47">
        <v>1946</v>
      </c>
    </row>
    <row r="48" spans="1:5" x14ac:dyDescent="0.75">
      <c r="A48" s="2" t="s">
        <v>127</v>
      </c>
      <c r="B48" s="2" t="s">
        <v>128</v>
      </c>
      <c r="C48" s="2" t="s">
        <v>48</v>
      </c>
      <c r="D48">
        <v>21.31</v>
      </c>
      <c r="E48">
        <v>1947</v>
      </c>
    </row>
    <row r="49" spans="1:5" x14ac:dyDescent="0.75">
      <c r="A49" s="2" t="s">
        <v>127</v>
      </c>
      <c r="B49" s="2" t="s">
        <v>128</v>
      </c>
      <c r="C49" s="2" t="s">
        <v>49</v>
      </c>
      <c r="D49">
        <v>20.92</v>
      </c>
      <c r="E49">
        <v>1948</v>
      </c>
    </row>
    <row r="50" spans="1:5" x14ac:dyDescent="0.75">
      <c r="A50" s="2" t="s">
        <v>127</v>
      </c>
      <c r="B50" s="2" t="s">
        <v>128</v>
      </c>
      <c r="C50" s="2" t="s">
        <v>50</v>
      </c>
      <c r="D50">
        <v>20.73</v>
      </c>
      <c r="E50">
        <v>1949</v>
      </c>
    </row>
    <row r="51" spans="1:5" x14ac:dyDescent="0.75">
      <c r="A51" s="2" t="s">
        <v>127</v>
      </c>
      <c r="B51" s="2" t="s">
        <v>128</v>
      </c>
      <c r="C51" s="2" t="s">
        <v>51</v>
      </c>
      <c r="D51">
        <v>19.8</v>
      </c>
      <c r="E51">
        <v>1950</v>
      </c>
    </row>
    <row r="52" spans="1:5" x14ac:dyDescent="0.75">
      <c r="A52" s="2" t="s">
        <v>127</v>
      </c>
      <c r="B52" s="2" t="s">
        <v>128</v>
      </c>
      <c r="C52" s="2" t="s">
        <v>52</v>
      </c>
      <c r="D52">
        <v>20.75</v>
      </c>
      <c r="E52">
        <v>1951</v>
      </c>
    </row>
    <row r="53" spans="1:5" x14ac:dyDescent="0.75">
      <c r="A53" s="2" t="s">
        <v>127</v>
      </c>
      <c r="B53" s="2" t="s">
        <v>128</v>
      </c>
      <c r="C53" s="2" t="s">
        <v>53</v>
      </c>
      <c r="D53">
        <v>20.82</v>
      </c>
      <c r="E53">
        <v>1952</v>
      </c>
    </row>
    <row r="54" spans="1:5" x14ac:dyDescent="0.75">
      <c r="A54" s="2" t="s">
        <v>127</v>
      </c>
      <c r="B54" s="2" t="s">
        <v>128</v>
      </c>
      <c r="C54" s="2" t="s">
        <v>54</v>
      </c>
      <c r="D54">
        <v>21.34</v>
      </c>
      <c r="E54">
        <v>1953</v>
      </c>
    </row>
    <row r="55" spans="1:5" x14ac:dyDescent="0.75">
      <c r="A55" s="2" t="s">
        <v>127</v>
      </c>
      <c r="B55" s="2" t="s">
        <v>128</v>
      </c>
      <c r="C55" s="2" t="s">
        <v>55</v>
      </c>
      <c r="D55">
        <v>20.77</v>
      </c>
      <c r="E55">
        <v>1954</v>
      </c>
    </row>
    <row r="56" spans="1:5" x14ac:dyDescent="0.75">
      <c r="A56" s="2" t="s">
        <v>127</v>
      </c>
      <c r="B56" s="2" t="s">
        <v>128</v>
      </c>
      <c r="C56" s="2" t="s">
        <v>56</v>
      </c>
      <c r="D56">
        <v>20.65</v>
      </c>
      <c r="E56">
        <v>1955</v>
      </c>
    </row>
    <row r="57" spans="1:5" x14ac:dyDescent="0.75">
      <c r="A57" s="2" t="s">
        <v>127</v>
      </c>
      <c r="B57" s="2" t="s">
        <v>128</v>
      </c>
      <c r="C57" s="2" t="s">
        <v>57</v>
      </c>
      <c r="D57">
        <v>20.55</v>
      </c>
      <c r="E57">
        <v>1956</v>
      </c>
    </row>
    <row r="58" spans="1:5" x14ac:dyDescent="0.75">
      <c r="A58" s="2" t="s">
        <v>127</v>
      </c>
      <c r="B58" s="2" t="s">
        <v>128</v>
      </c>
      <c r="C58" s="2" t="s">
        <v>58</v>
      </c>
      <c r="D58">
        <v>19.96</v>
      </c>
      <c r="E58">
        <v>1957</v>
      </c>
    </row>
    <row r="59" spans="1:5" x14ac:dyDescent="0.75">
      <c r="A59" s="2" t="s">
        <v>127</v>
      </c>
      <c r="B59" s="2" t="s">
        <v>128</v>
      </c>
      <c r="C59" s="2" t="s">
        <v>59</v>
      </c>
      <c r="D59">
        <v>21.34</v>
      </c>
      <c r="E59">
        <v>1958</v>
      </c>
    </row>
    <row r="60" spans="1:5" x14ac:dyDescent="0.75">
      <c r="A60" s="2" t="s">
        <v>127</v>
      </c>
      <c r="B60" s="2" t="s">
        <v>128</v>
      </c>
      <c r="C60" s="2" t="s">
        <v>60</v>
      </c>
      <c r="D60">
        <v>20.89</v>
      </c>
      <c r="E60">
        <v>1959</v>
      </c>
    </row>
    <row r="61" spans="1:5" x14ac:dyDescent="0.75">
      <c r="A61" s="2" t="s">
        <v>127</v>
      </c>
      <c r="B61" s="2" t="s">
        <v>128</v>
      </c>
      <c r="C61" s="2" t="s">
        <v>61</v>
      </c>
      <c r="D61">
        <v>20.6</v>
      </c>
      <c r="E61">
        <v>1960</v>
      </c>
    </row>
    <row r="62" spans="1:5" x14ac:dyDescent="0.75">
      <c r="A62" s="2" t="s">
        <v>127</v>
      </c>
      <c r="B62" s="2" t="s">
        <v>128</v>
      </c>
      <c r="C62" s="2" t="s">
        <v>62</v>
      </c>
      <c r="D62">
        <v>20.46</v>
      </c>
      <c r="E62">
        <v>1961</v>
      </c>
    </row>
    <row r="63" spans="1:5" x14ac:dyDescent="0.75">
      <c r="A63" s="2" t="s">
        <v>127</v>
      </c>
      <c r="B63" s="2" t="s">
        <v>128</v>
      </c>
      <c r="C63" s="2" t="s">
        <v>63</v>
      </c>
      <c r="D63">
        <v>20.54</v>
      </c>
      <c r="E63">
        <v>1962</v>
      </c>
    </row>
    <row r="64" spans="1:5" x14ac:dyDescent="0.75">
      <c r="A64" s="2" t="s">
        <v>127</v>
      </c>
      <c r="B64" s="2" t="s">
        <v>128</v>
      </c>
      <c r="C64" s="2" t="s">
        <v>64</v>
      </c>
      <c r="D64">
        <v>21.2</v>
      </c>
      <c r="E64">
        <v>1963</v>
      </c>
    </row>
    <row r="65" spans="1:5" x14ac:dyDescent="0.75">
      <c r="A65" s="2" t="s">
        <v>127</v>
      </c>
      <c r="B65" s="2" t="s">
        <v>128</v>
      </c>
      <c r="C65" s="2" t="s">
        <v>65</v>
      </c>
      <c r="D65">
        <v>20.2</v>
      </c>
      <c r="E65">
        <v>1964</v>
      </c>
    </row>
    <row r="66" spans="1:5" x14ac:dyDescent="0.75">
      <c r="A66" s="2" t="s">
        <v>127</v>
      </c>
      <c r="B66" s="2" t="s">
        <v>128</v>
      </c>
      <c r="C66" s="2" t="s">
        <v>66</v>
      </c>
      <c r="D66">
        <v>20.58</v>
      </c>
      <c r="E66">
        <v>1965</v>
      </c>
    </row>
    <row r="67" spans="1:5" x14ac:dyDescent="0.75">
      <c r="A67" s="2" t="s">
        <v>127</v>
      </c>
      <c r="B67" s="2" t="s">
        <v>128</v>
      </c>
      <c r="C67" s="2" t="s">
        <v>67</v>
      </c>
      <c r="D67">
        <v>20.66</v>
      </c>
      <c r="E67">
        <v>1966</v>
      </c>
    </row>
    <row r="68" spans="1:5" x14ac:dyDescent="0.75">
      <c r="A68" s="2" t="s">
        <v>127</v>
      </c>
      <c r="B68" s="2" t="s">
        <v>128</v>
      </c>
      <c r="C68" s="2" t="s">
        <v>68</v>
      </c>
      <c r="D68">
        <v>20.440000000000001</v>
      </c>
      <c r="E68">
        <v>1967</v>
      </c>
    </row>
    <row r="69" spans="1:5" x14ac:dyDescent="0.75">
      <c r="A69" s="2" t="s">
        <v>127</v>
      </c>
      <c r="B69" s="2" t="s">
        <v>128</v>
      </c>
      <c r="C69" s="2" t="s">
        <v>69</v>
      </c>
      <c r="D69">
        <v>20.36</v>
      </c>
      <c r="E69">
        <v>1968</v>
      </c>
    </row>
    <row r="70" spans="1:5" x14ac:dyDescent="0.75">
      <c r="A70" s="2" t="s">
        <v>127</v>
      </c>
      <c r="B70" s="2" t="s">
        <v>128</v>
      </c>
      <c r="C70" s="2" t="s">
        <v>70</v>
      </c>
      <c r="D70">
        <v>21.17</v>
      </c>
      <c r="E70">
        <v>1969</v>
      </c>
    </row>
    <row r="71" spans="1:5" x14ac:dyDescent="0.75">
      <c r="A71" s="2" t="s">
        <v>127</v>
      </c>
      <c r="B71" s="2" t="s">
        <v>128</v>
      </c>
      <c r="C71" s="2" t="s">
        <v>71</v>
      </c>
      <c r="D71">
        <v>21.15</v>
      </c>
      <c r="E71">
        <v>1970</v>
      </c>
    </row>
    <row r="72" spans="1:5" x14ac:dyDescent="0.75">
      <c r="A72" s="2" t="s">
        <v>127</v>
      </c>
      <c r="B72" s="2" t="s">
        <v>128</v>
      </c>
      <c r="C72" s="2" t="s">
        <v>72</v>
      </c>
      <c r="D72">
        <v>20.83</v>
      </c>
      <c r="E72">
        <v>1971</v>
      </c>
    </row>
    <row r="73" spans="1:5" x14ac:dyDescent="0.75">
      <c r="A73" s="2" t="s">
        <v>127</v>
      </c>
      <c r="B73" s="2" t="s">
        <v>128</v>
      </c>
      <c r="C73" s="2" t="s">
        <v>73</v>
      </c>
      <c r="D73">
        <v>20.2</v>
      </c>
      <c r="E73">
        <v>1972</v>
      </c>
    </row>
    <row r="74" spans="1:5" x14ac:dyDescent="0.75">
      <c r="A74" s="2" t="s">
        <v>127</v>
      </c>
      <c r="B74" s="2" t="s">
        <v>128</v>
      </c>
      <c r="C74" s="2" t="s">
        <v>74</v>
      </c>
      <c r="D74">
        <v>20.82</v>
      </c>
      <c r="E74">
        <v>1973</v>
      </c>
    </row>
    <row r="75" spans="1:5" x14ac:dyDescent="0.75">
      <c r="A75" s="2" t="s">
        <v>127</v>
      </c>
      <c r="B75" s="2" t="s">
        <v>128</v>
      </c>
      <c r="C75" s="2" t="s">
        <v>75</v>
      </c>
      <c r="D75">
        <v>20.52</v>
      </c>
      <c r="E75">
        <v>1974</v>
      </c>
    </row>
    <row r="76" spans="1:5" x14ac:dyDescent="0.75">
      <c r="A76" s="2" t="s">
        <v>127</v>
      </c>
      <c r="B76" s="2" t="s">
        <v>128</v>
      </c>
      <c r="C76" s="2" t="s">
        <v>76</v>
      </c>
      <c r="D76">
        <v>20.2</v>
      </c>
      <c r="E76">
        <v>1975</v>
      </c>
    </row>
    <row r="77" spans="1:5" x14ac:dyDescent="0.75">
      <c r="A77" s="2" t="s">
        <v>127</v>
      </c>
      <c r="B77" s="2" t="s">
        <v>128</v>
      </c>
      <c r="C77" s="2" t="s">
        <v>77</v>
      </c>
      <c r="D77">
        <v>20.48</v>
      </c>
      <c r="E77">
        <v>1976</v>
      </c>
    </row>
    <row r="78" spans="1:5" x14ac:dyDescent="0.75">
      <c r="A78" s="2" t="s">
        <v>127</v>
      </c>
      <c r="B78" s="2" t="s">
        <v>128</v>
      </c>
      <c r="C78" s="2" t="s">
        <v>78</v>
      </c>
      <c r="D78">
        <v>21.24</v>
      </c>
      <c r="E78">
        <v>1977</v>
      </c>
    </row>
    <row r="79" spans="1:5" x14ac:dyDescent="0.75">
      <c r="A79" s="2" t="s">
        <v>127</v>
      </c>
      <c r="B79" s="2" t="s">
        <v>128</v>
      </c>
      <c r="C79" s="2" t="s">
        <v>79</v>
      </c>
      <c r="D79">
        <v>20.82</v>
      </c>
      <c r="E79">
        <v>1978</v>
      </c>
    </row>
    <row r="80" spans="1:5" x14ac:dyDescent="0.75">
      <c r="A80" s="2" t="s">
        <v>127</v>
      </c>
      <c r="B80" s="2" t="s">
        <v>128</v>
      </c>
      <c r="C80" s="2" t="s">
        <v>80</v>
      </c>
      <c r="D80">
        <v>20.69</v>
      </c>
      <c r="E80">
        <v>1979</v>
      </c>
    </row>
    <row r="81" spans="1:5" x14ac:dyDescent="0.75">
      <c r="A81" s="2" t="s">
        <v>127</v>
      </c>
      <c r="B81" s="2" t="s">
        <v>128</v>
      </c>
      <c r="C81" s="2" t="s">
        <v>81</v>
      </c>
      <c r="D81">
        <v>21.2</v>
      </c>
      <c r="E81">
        <v>1980</v>
      </c>
    </row>
    <row r="82" spans="1:5" x14ac:dyDescent="0.75">
      <c r="A82" s="2" t="s">
        <v>127</v>
      </c>
      <c r="B82" s="2" t="s">
        <v>128</v>
      </c>
      <c r="C82" s="2" t="s">
        <v>82</v>
      </c>
      <c r="D82">
        <v>21.01</v>
      </c>
      <c r="E82">
        <v>1981</v>
      </c>
    </row>
    <row r="83" spans="1:5" x14ac:dyDescent="0.75">
      <c r="A83" s="2" t="s">
        <v>127</v>
      </c>
      <c r="B83" s="2" t="s">
        <v>128</v>
      </c>
      <c r="C83" s="2" t="s">
        <v>83</v>
      </c>
      <c r="D83">
        <v>20.329999999999998</v>
      </c>
      <c r="E83">
        <v>1982</v>
      </c>
    </row>
    <row r="84" spans="1:5" x14ac:dyDescent="0.75">
      <c r="A84" s="2" t="s">
        <v>127</v>
      </c>
      <c r="B84" s="2" t="s">
        <v>128</v>
      </c>
      <c r="C84" s="2" t="s">
        <v>84</v>
      </c>
      <c r="D84">
        <v>20.37</v>
      </c>
      <c r="E84">
        <v>1983</v>
      </c>
    </row>
    <row r="85" spans="1:5" x14ac:dyDescent="0.75">
      <c r="A85" s="2" t="s">
        <v>127</v>
      </c>
      <c r="B85" s="2" t="s">
        <v>128</v>
      </c>
      <c r="C85" s="2" t="s">
        <v>85</v>
      </c>
      <c r="D85">
        <v>20.68</v>
      </c>
      <c r="E85">
        <v>1984</v>
      </c>
    </row>
    <row r="86" spans="1:5" x14ac:dyDescent="0.75">
      <c r="A86" s="2" t="s">
        <v>127</v>
      </c>
      <c r="B86" s="2" t="s">
        <v>128</v>
      </c>
      <c r="C86" s="2" t="s">
        <v>86</v>
      </c>
      <c r="D86">
        <v>21</v>
      </c>
      <c r="E86">
        <v>1985</v>
      </c>
    </row>
    <row r="87" spans="1:5" x14ac:dyDescent="0.75">
      <c r="A87" s="2" t="s">
        <v>127</v>
      </c>
      <c r="B87" s="2" t="s">
        <v>128</v>
      </c>
      <c r="C87" s="2" t="s">
        <v>87</v>
      </c>
      <c r="D87">
        <v>20.38</v>
      </c>
      <c r="E87">
        <v>1986</v>
      </c>
    </row>
    <row r="88" spans="1:5" x14ac:dyDescent="0.75">
      <c r="A88" s="2" t="s">
        <v>127</v>
      </c>
      <c r="B88" s="2" t="s">
        <v>128</v>
      </c>
      <c r="C88" s="2" t="s">
        <v>88</v>
      </c>
      <c r="D88">
        <v>21.17</v>
      </c>
      <c r="E88">
        <v>1987</v>
      </c>
    </row>
    <row r="89" spans="1:5" x14ac:dyDescent="0.75">
      <c r="A89" s="2" t="s">
        <v>127</v>
      </c>
      <c r="B89" s="2" t="s">
        <v>128</v>
      </c>
      <c r="C89" s="2" t="s">
        <v>89</v>
      </c>
      <c r="D89">
        <v>21.56</v>
      </c>
      <c r="E89">
        <v>1988</v>
      </c>
    </row>
    <row r="90" spans="1:5" x14ac:dyDescent="0.75">
      <c r="A90" s="2" t="s">
        <v>127</v>
      </c>
      <c r="B90" s="2" t="s">
        <v>128</v>
      </c>
      <c r="C90" s="2" t="s">
        <v>90</v>
      </c>
      <c r="D90">
        <v>20.38</v>
      </c>
      <c r="E90">
        <v>1989</v>
      </c>
    </row>
    <row r="91" spans="1:5" x14ac:dyDescent="0.75">
      <c r="A91" s="2" t="s">
        <v>127</v>
      </c>
      <c r="B91" s="2" t="s">
        <v>128</v>
      </c>
      <c r="C91" s="2" t="s">
        <v>91</v>
      </c>
      <c r="D91">
        <v>21.13</v>
      </c>
      <c r="E91">
        <v>1990</v>
      </c>
    </row>
    <row r="92" spans="1:5" x14ac:dyDescent="0.75">
      <c r="A92" s="2" t="s">
        <v>127</v>
      </c>
      <c r="B92" s="2" t="s">
        <v>128</v>
      </c>
      <c r="C92" s="2" t="s">
        <v>92</v>
      </c>
      <c r="D92">
        <v>20.79</v>
      </c>
      <c r="E92">
        <v>1991</v>
      </c>
    </row>
    <row r="93" spans="1:5" x14ac:dyDescent="0.75">
      <c r="A93" s="2" t="s">
        <v>127</v>
      </c>
      <c r="B93" s="2" t="s">
        <v>128</v>
      </c>
      <c r="C93" s="2" t="s">
        <v>93</v>
      </c>
      <c r="D93">
        <v>20.59</v>
      </c>
      <c r="E93">
        <v>1992</v>
      </c>
    </row>
    <row r="94" spans="1:5" x14ac:dyDescent="0.75">
      <c r="A94" s="2" t="s">
        <v>127</v>
      </c>
      <c r="B94" s="2" t="s">
        <v>128</v>
      </c>
      <c r="C94" s="2" t="s">
        <v>94</v>
      </c>
      <c r="D94">
        <v>21.27</v>
      </c>
      <c r="E94">
        <v>1993</v>
      </c>
    </row>
    <row r="95" spans="1:5" x14ac:dyDescent="0.75">
      <c r="A95" s="2" t="s">
        <v>127</v>
      </c>
      <c r="B95" s="2" t="s">
        <v>128</v>
      </c>
      <c r="C95" s="2" t="s">
        <v>95</v>
      </c>
      <c r="D95">
        <v>21.01</v>
      </c>
      <c r="E95">
        <v>1994</v>
      </c>
    </row>
    <row r="96" spans="1:5" x14ac:dyDescent="0.75">
      <c r="A96" s="2" t="s">
        <v>127</v>
      </c>
      <c r="B96" s="2" t="s">
        <v>128</v>
      </c>
      <c r="C96" s="2" t="s">
        <v>96</v>
      </c>
      <c r="D96">
        <v>20.85</v>
      </c>
      <c r="E96">
        <v>1995</v>
      </c>
    </row>
    <row r="97" spans="1:5" x14ac:dyDescent="0.75">
      <c r="A97" s="2" t="s">
        <v>127</v>
      </c>
      <c r="B97" s="2" t="s">
        <v>128</v>
      </c>
      <c r="C97" s="2" t="s">
        <v>97</v>
      </c>
      <c r="D97">
        <v>20.72</v>
      </c>
      <c r="E97">
        <v>1996</v>
      </c>
    </row>
    <row r="98" spans="1:5" x14ac:dyDescent="0.75">
      <c r="A98" s="2" t="s">
        <v>127</v>
      </c>
      <c r="B98" s="2" t="s">
        <v>128</v>
      </c>
      <c r="C98" s="2" t="s">
        <v>98</v>
      </c>
      <c r="D98">
        <v>20.25</v>
      </c>
      <c r="E98">
        <v>1997</v>
      </c>
    </row>
    <row r="99" spans="1:5" x14ac:dyDescent="0.75">
      <c r="A99" s="2" t="s">
        <v>127</v>
      </c>
      <c r="B99" s="2" t="s">
        <v>128</v>
      </c>
      <c r="C99" s="2" t="s">
        <v>99</v>
      </c>
      <c r="D99">
        <v>21.35</v>
      </c>
      <c r="E99">
        <v>1998</v>
      </c>
    </row>
    <row r="100" spans="1:5" x14ac:dyDescent="0.75">
      <c r="A100" s="2" t="s">
        <v>127</v>
      </c>
      <c r="B100" s="2" t="s">
        <v>128</v>
      </c>
      <c r="C100" s="2" t="s">
        <v>100</v>
      </c>
      <c r="D100">
        <v>21.68</v>
      </c>
      <c r="E100">
        <v>1999</v>
      </c>
    </row>
    <row r="101" spans="1:5" x14ac:dyDescent="0.75">
      <c r="A101" s="2" t="s">
        <v>127</v>
      </c>
      <c r="B101" s="2" t="s">
        <v>128</v>
      </c>
      <c r="C101" s="2" t="s">
        <v>101</v>
      </c>
      <c r="D101">
        <v>21.52</v>
      </c>
      <c r="E101">
        <v>2000</v>
      </c>
    </row>
    <row r="102" spans="1:5" x14ac:dyDescent="0.75">
      <c r="A102" s="2" t="s">
        <v>127</v>
      </c>
      <c r="B102" s="2" t="s">
        <v>128</v>
      </c>
      <c r="C102" s="2" t="s">
        <v>102</v>
      </c>
      <c r="D102">
        <v>21.66</v>
      </c>
      <c r="E102">
        <v>2001</v>
      </c>
    </row>
    <row r="103" spans="1:5" x14ac:dyDescent="0.75">
      <c r="A103" s="2" t="s">
        <v>127</v>
      </c>
      <c r="B103" s="2" t="s">
        <v>128</v>
      </c>
      <c r="C103" s="2" t="s">
        <v>103</v>
      </c>
      <c r="D103">
        <v>21.76</v>
      </c>
      <c r="E103">
        <v>2002</v>
      </c>
    </row>
    <row r="104" spans="1:5" x14ac:dyDescent="0.75">
      <c r="A104" s="2" t="s">
        <v>127</v>
      </c>
      <c r="B104" s="2" t="s">
        <v>128</v>
      </c>
      <c r="C104" s="2" t="s">
        <v>104</v>
      </c>
      <c r="D104">
        <v>21.22</v>
      </c>
      <c r="E104">
        <v>2003</v>
      </c>
    </row>
    <row r="105" spans="1:5" x14ac:dyDescent="0.75">
      <c r="A105" s="2" t="s">
        <v>127</v>
      </c>
      <c r="B105" s="2" t="s">
        <v>128</v>
      </c>
      <c r="C105" s="2" t="s">
        <v>105</v>
      </c>
      <c r="D105">
        <v>21.89</v>
      </c>
      <c r="E105">
        <v>2004</v>
      </c>
    </row>
    <row r="106" spans="1:5" x14ac:dyDescent="0.75">
      <c r="A106" s="2" t="s">
        <v>127</v>
      </c>
      <c r="B106" s="2" t="s">
        <v>128</v>
      </c>
      <c r="C106" s="2" t="s">
        <v>106</v>
      </c>
      <c r="D106">
        <v>20.98</v>
      </c>
      <c r="E106">
        <v>2005</v>
      </c>
    </row>
    <row r="107" spans="1:5" x14ac:dyDescent="0.75">
      <c r="A107" s="2" t="s">
        <v>127</v>
      </c>
      <c r="B107" s="2" t="s">
        <v>128</v>
      </c>
      <c r="C107" s="2" t="s">
        <v>107</v>
      </c>
      <c r="D107">
        <v>21.65</v>
      </c>
      <c r="E107">
        <v>2006</v>
      </c>
    </row>
    <row r="108" spans="1:5" x14ac:dyDescent="0.75">
      <c r="A108" s="2" t="s">
        <v>127</v>
      </c>
      <c r="B108" s="2" t="s">
        <v>128</v>
      </c>
      <c r="C108" s="2" t="s">
        <v>108</v>
      </c>
      <c r="D108">
        <v>21.62</v>
      </c>
      <c r="E108">
        <v>2007</v>
      </c>
    </row>
    <row r="109" spans="1:5" x14ac:dyDescent="0.75">
      <c r="A109" s="2" t="s">
        <v>127</v>
      </c>
      <c r="B109" s="2" t="s">
        <v>128</v>
      </c>
      <c r="C109" s="2" t="s">
        <v>109</v>
      </c>
      <c r="D109">
        <v>21.46</v>
      </c>
      <c r="E109">
        <v>2008</v>
      </c>
    </row>
    <row r="110" spans="1:5" x14ac:dyDescent="0.75">
      <c r="A110" s="2" t="s">
        <v>127</v>
      </c>
      <c r="B110" s="2" t="s">
        <v>128</v>
      </c>
      <c r="C110" s="2" t="s">
        <v>110</v>
      </c>
      <c r="D110">
        <v>21.99</v>
      </c>
      <c r="E110">
        <v>2009</v>
      </c>
    </row>
    <row r="111" spans="1:5" x14ac:dyDescent="0.75">
      <c r="A111" s="2" t="s">
        <v>127</v>
      </c>
      <c r="B111" s="2" t="s">
        <v>128</v>
      </c>
      <c r="C111" s="2" t="s">
        <v>111</v>
      </c>
      <c r="D111">
        <v>22.06</v>
      </c>
      <c r="E111">
        <v>2010</v>
      </c>
    </row>
    <row r="112" spans="1:5" x14ac:dyDescent="0.75">
      <c r="A112" s="2" t="s">
        <v>127</v>
      </c>
      <c r="B112" s="2" t="s">
        <v>128</v>
      </c>
      <c r="C112" s="2" t="s">
        <v>112</v>
      </c>
      <c r="D112">
        <v>21.66</v>
      </c>
      <c r="E112">
        <v>2011</v>
      </c>
    </row>
    <row r="113" spans="1:5" x14ac:dyDescent="0.75">
      <c r="A113" s="2" t="s">
        <v>127</v>
      </c>
      <c r="B113" s="2" t="s">
        <v>128</v>
      </c>
      <c r="C113" s="2" t="s">
        <v>113</v>
      </c>
      <c r="D113">
        <v>21.1</v>
      </c>
      <c r="E113">
        <v>2012</v>
      </c>
    </row>
    <row r="114" spans="1:5" x14ac:dyDescent="0.75">
      <c r="A114" s="2" t="s">
        <v>127</v>
      </c>
      <c r="B114" s="2" t="s">
        <v>128</v>
      </c>
      <c r="C114" s="2" t="s">
        <v>114</v>
      </c>
      <c r="D114">
        <v>21.67</v>
      </c>
      <c r="E114">
        <v>2013</v>
      </c>
    </row>
    <row r="115" spans="1:5" x14ac:dyDescent="0.75">
      <c r="A115" s="2" t="s">
        <v>127</v>
      </c>
      <c r="B115" s="2" t="s">
        <v>128</v>
      </c>
      <c r="C115" s="2" t="s">
        <v>115</v>
      </c>
      <c r="D115">
        <v>21.3</v>
      </c>
      <c r="E115">
        <v>2014</v>
      </c>
    </row>
    <row r="116" spans="1:5" x14ac:dyDescent="0.75">
      <c r="A116" s="2" t="s">
        <v>127</v>
      </c>
      <c r="B116" s="2" t="s">
        <v>128</v>
      </c>
      <c r="C116" s="2" t="s">
        <v>116</v>
      </c>
      <c r="D116">
        <v>21.57</v>
      </c>
      <c r="E116">
        <v>2015</v>
      </c>
    </row>
    <row r="117" spans="1:5" x14ac:dyDescent="0.75">
      <c r="A117" s="2" t="s">
        <v>127</v>
      </c>
      <c r="B117" s="2" t="s">
        <v>128</v>
      </c>
      <c r="C117" s="2" t="s">
        <v>117</v>
      </c>
      <c r="D117">
        <v>22.19</v>
      </c>
      <c r="E117">
        <v>2016</v>
      </c>
    </row>
    <row r="118" spans="1:5" x14ac:dyDescent="0.75">
      <c r="A118" s="2" t="s">
        <v>127</v>
      </c>
      <c r="B118" s="2" t="s">
        <v>128</v>
      </c>
      <c r="C118" s="2" t="s">
        <v>118</v>
      </c>
      <c r="D118">
        <v>21.92</v>
      </c>
      <c r="E118">
        <v>2017</v>
      </c>
    </row>
    <row r="119" spans="1:5" x14ac:dyDescent="0.75">
      <c r="A119" s="2" t="s">
        <v>127</v>
      </c>
      <c r="B119" s="2" t="s">
        <v>128</v>
      </c>
      <c r="C119" s="2" t="s">
        <v>119</v>
      </c>
      <c r="D119">
        <v>22.22</v>
      </c>
      <c r="E119">
        <v>2018</v>
      </c>
    </row>
    <row r="120" spans="1:5" x14ac:dyDescent="0.75">
      <c r="A120" s="2" t="s">
        <v>127</v>
      </c>
      <c r="B120" s="2" t="s">
        <v>128</v>
      </c>
      <c r="C120" s="2" t="s">
        <v>120</v>
      </c>
      <c r="D120">
        <v>21.41</v>
      </c>
      <c r="E120">
        <v>2019</v>
      </c>
    </row>
    <row r="121" spans="1:5" x14ac:dyDescent="0.75">
      <c r="A121" s="2" t="s">
        <v>127</v>
      </c>
      <c r="B121" s="2" t="s">
        <v>128</v>
      </c>
      <c r="C121" s="2" t="s">
        <v>121</v>
      </c>
      <c r="D121">
        <v>21.26</v>
      </c>
      <c r="E121">
        <v>2020</v>
      </c>
    </row>
    <row r="122" spans="1:5" x14ac:dyDescent="0.75">
      <c r="A122" s="2" t="s">
        <v>127</v>
      </c>
      <c r="B122" s="2" t="s">
        <v>128</v>
      </c>
      <c r="C122" s="2" t="s">
        <v>122</v>
      </c>
      <c r="D122">
        <v>22</v>
      </c>
      <c r="E122">
        <v>2021</v>
      </c>
    </row>
    <row r="123" spans="1:5" x14ac:dyDescent="0.75">
      <c r="A123" s="2" t="s">
        <v>127</v>
      </c>
      <c r="B123" s="2" t="s">
        <v>128</v>
      </c>
      <c r="C123" s="2" t="s">
        <v>123</v>
      </c>
      <c r="D123">
        <v>22.19</v>
      </c>
      <c r="E123">
        <v>2022</v>
      </c>
    </row>
    <row r="124" spans="1:5" x14ac:dyDescent="0.75">
      <c r="A124" s="2" t="s">
        <v>127</v>
      </c>
      <c r="B124" s="2" t="s">
        <v>128</v>
      </c>
      <c r="C124" s="2" t="s">
        <v>124</v>
      </c>
      <c r="D124">
        <v>21.86</v>
      </c>
      <c r="E124">
        <v>2023</v>
      </c>
    </row>
    <row r="125" spans="1:5" x14ac:dyDescent="0.75">
      <c r="A125" s="2" t="s">
        <v>127</v>
      </c>
      <c r="B125" s="2" t="s">
        <v>128</v>
      </c>
      <c r="C125" s="2" t="s">
        <v>125</v>
      </c>
      <c r="D125">
        <v>22.11</v>
      </c>
      <c r="E125">
        <v>2024</v>
      </c>
    </row>
    <row r="126" spans="1:5" x14ac:dyDescent="0.75">
      <c r="A126" s="2" t="s">
        <v>127</v>
      </c>
      <c r="B126" s="2" t="s">
        <v>128</v>
      </c>
      <c r="C126" s="2" t="s">
        <v>126</v>
      </c>
      <c r="D126">
        <v>22.35</v>
      </c>
      <c r="E126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"/>
  <sheetViews>
    <sheetView workbookViewId="0">
      <selection activeCell="G8" sqref="G8"/>
    </sheetView>
  </sheetViews>
  <sheetFormatPr defaultRowHeight="14.75" x14ac:dyDescent="0.75"/>
  <cols>
    <col min="1" max="1" width="6.54296875" customWidth="1"/>
    <col min="2" max="2" width="10.54296875" bestFit="1" customWidth="1"/>
    <col min="3" max="82" width="9.26953125" bestFit="1" customWidth="1"/>
    <col min="83" max="83" width="22.26953125" bestFit="1" customWidth="1"/>
    <col min="84" max="95" width="9.26953125" bestFit="1" customWidth="1"/>
    <col min="96" max="96" width="22.26953125" bestFit="1" customWidth="1"/>
    <col min="97" max="111" width="9.26953125" bestFit="1" customWidth="1"/>
    <col min="112" max="112" width="22.26953125" bestFit="1" customWidth="1"/>
    <col min="113" max="127" width="9.26953125" bestFit="1" customWidth="1"/>
  </cols>
  <sheetData>
    <row r="1" spans="1:12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75">
      <c r="A2" t="s">
        <v>127</v>
      </c>
      <c r="B2" t="s">
        <v>128</v>
      </c>
      <c r="C2">
        <v>20.99</v>
      </c>
      <c r="D2">
        <v>21.2</v>
      </c>
      <c r="E2">
        <v>20.440000000000001</v>
      </c>
      <c r="F2">
        <v>20.72</v>
      </c>
      <c r="G2">
        <v>20.46</v>
      </c>
      <c r="H2">
        <v>20.67</v>
      </c>
      <c r="I2">
        <v>20.46</v>
      </c>
      <c r="J2">
        <v>20.440000000000001</v>
      </c>
      <c r="K2">
        <v>20.350000000000001</v>
      </c>
      <c r="L2">
        <v>20.37</v>
      </c>
      <c r="M2">
        <v>20.68</v>
      </c>
      <c r="N2">
        <v>20.81</v>
      </c>
      <c r="O2">
        <v>20.53</v>
      </c>
      <c r="P2">
        <v>20.79</v>
      </c>
      <c r="Q2">
        <v>21.26</v>
      </c>
      <c r="R2">
        <v>20.69</v>
      </c>
      <c r="S2">
        <v>20.23</v>
      </c>
      <c r="T2">
        <v>20.63</v>
      </c>
      <c r="U2">
        <v>20.45</v>
      </c>
      <c r="V2">
        <v>20.399999999999999</v>
      </c>
      <c r="W2">
        <v>21.17</v>
      </c>
      <c r="X2">
        <v>20.86</v>
      </c>
      <c r="Y2">
        <v>20.52</v>
      </c>
      <c r="Z2">
        <v>20.61</v>
      </c>
      <c r="AA2">
        <v>20.69</v>
      </c>
      <c r="AB2">
        <v>20.48</v>
      </c>
      <c r="AC2">
        <v>20.350000000000001</v>
      </c>
      <c r="AD2">
        <v>20.67</v>
      </c>
      <c r="AE2">
        <v>20.61</v>
      </c>
      <c r="AF2">
        <v>20.399999999999999</v>
      </c>
      <c r="AG2">
        <v>20.66</v>
      </c>
      <c r="AH2">
        <v>20.82</v>
      </c>
      <c r="AI2">
        <v>20.41</v>
      </c>
      <c r="AJ2">
        <v>20.57</v>
      </c>
      <c r="AK2">
        <v>20.170000000000002</v>
      </c>
      <c r="AL2">
        <v>20.58</v>
      </c>
      <c r="AM2">
        <v>20.27</v>
      </c>
      <c r="AN2">
        <v>20.69</v>
      </c>
      <c r="AO2">
        <v>20.7</v>
      </c>
      <c r="AP2">
        <v>20.93</v>
      </c>
      <c r="AQ2">
        <v>21.7</v>
      </c>
      <c r="AR2">
        <v>20.91</v>
      </c>
      <c r="AS2">
        <v>20.75</v>
      </c>
      <c r="AT2">
        <v>20.61</v>
      </c>
      <c r="AU2">
        <v>20.3</v>
      </c>
      <c r="AV2">
        <v>21.12</v>
      </c>
      <c r="AW2">
        <v>21.31</v>
      </c>
      <c r="AX2">
        <v>20.92</v>
      </c>
      <c r="AY2">
        <v>20.73</v>
      </c>
      <c r="AZ2">
        <v>19.8</v>
      </c>
      <c r="BA2">
        <v>20.75</v>
      </c>
      <c r="BB2">
        <v>20.82</v>
      </c>
      <c r="BC2">
        <v>21.34</v>
      </c>
      <c r="BD2">
        <v>20.77</v>
      </c>
      <c r="BE2">
        <v>20.65</v>
      </c>
      <c r="BF2">
        <v>20.55</v>
      </c>
      <c r="BG2">
        <v>19.96</v>
      </c>
      <c r="BH2">
        <v>21.34</v>
      </c>
      <c r="BI2">
        <v>20.89</v>
      </c>
      <c r="BJ2">
        <v>20.6</v>
      </c>
      <c r="BK2">
        <v>20.46</v>
      </c>
      <c r="BL2">
        <v>20.54</v>
      </c>
      <c r="BM2">
        <v>21.2</v>
      </c>
      <c r="BN2">
        <v>20.2</v>
      </c>
      <c r="BO2">
        <v>20.58</v>
      </c>
      <c r="BP2">
        <v>20.66</v>
      </c>
      <c r="BQ2">
        <v>20.440000000000001</v>
      </c>
      <c r="BR2">
        <v>20.36</v>
      </c>
      <c r="BS2">
        <v>21.17</v>
      </c>
      <c r="BT2">
        <v>21.15</v>
      </c>
      <c r="BU2">
        <v>20.83</v>
      </c>
      <c r="BV2">
        <v>20.2</v>
      </c>
      <c r="BW2">
        <v>20.82</v>
      </c>
      <c r="BX2">
        <v>20.52</v>
      </c>
      <c r="BY2">
        <v>20.2</v>
      </c>
      <c r="BZ2">
        <v>20.48</v>
      </c>
      <c r="CA2">
        <v>21.24</v>
      </c>
      <c r="CB2">
        <v>20.82</v>
      </c>
      <c r="CC2">
        <v>20.69</v>
      </c>
      <c r="CD2">
        <v>21.2</v>
      </c>
      <c r="CE2">
        <v>21.01</v>
      </c>
      <c r="CF2">
        <v>20.329999999999998</v>
      </c>
      <c r="CG2">
        <v>20.37</v>
      </c>
      <c r="CH2">
        <v>20.68</v>
      </c>
      <c r="CI2">
        <v>21</v>
      </c>
      <c r="CJ2">
        <v>20.38</v>
      </c>
      <c r="CK2">
        <v>21.17</v>
      </c>
      <c r="CL2">
        <v>21.56</v>
      </c>
      <c r="CM2">
        <v>20.38</v>
      </c>
      <c r="CN2">
        <v>21.13</v>
      </c>
      <c r="CO2">
        <v>20.79</v>
      </c>
      <c r="CP2">
        <v>20.59</v>
      </c>
      <c r="CQ2">
        <v>21.27</v>
      </c>
      <c r="CR2">
        <v>21.01</v>
      </c>
      <c r="CS2">
        <v>20.85</v>
      </c>
      <c r="CT2">
        <v>20.72</v>
      </c>
      <c r="CU2">
        <v>20.25</v>
      </c>
      <c r="CV2">
        <v>21.35</v>
      </c>
      <c r="CW2">
        <v>21.68</v>
      </c>
      <c r="CX2">
        <v>21.52</v>
      </c>
      <c r="CY2">
        <v>21.66</v>
      </c>
      <c r="CZ2">
        <v>21.76</v>
      </c>
      <c r="DA2">
        <v>21.22</v>
      </c>
      <c r="DB2">
        <v>21.89</v>
      </c>
      <c r="DC2">
        <v>20.98</v>
      </c>
      <c r="DD2">
        <v>21.65</v>
      </c>
      <c r="DE2">
        <v>21.62</v>
      </c>
      <c r="DF2">
        <v>21.46</v>
      </c>
      <c r="DG2">
        <v>21.99</v>
      </c>
      <c r="DH2">
        <v>22.06</v>
      </c>
      <c r="DI2">
        <v>21.66</v>
      </c>
      <c r="DJ2">
        <v>21.1</v>
      </c>
      <c r="DK2">
        <v>21.67</v>
      </c>
      <c r="DL2">
        <v>21.3</v>
      </c>
      <c r="DM2">
        <v>21.57</v>
      </c>
      <c r="DN2">
        <v>22.19</v>
      </c>
      <c r="DO2">
        <v>21.92</v>
      </c>
      <c r="DP2">
        <v>22.22</v>
      </c>
      <c r="DQ2">
        <v>21.41</v>
      </c>
      <c r="DR2">
        <v>21.26</v>
      </c>
      <c r="DS2">
        <v>22</v>
      </c>
      <c r="DT2">
        <v>22.19</v>
      </c>
      <c r="DU2">
        <v>21.86</v>
      </c>
      <c r="DV2">
        <v>22.11</v>
      </c>
      <c r="DW2">
        <v>22.35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564D0-4F22-412B-8E0D-75F1962B1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Original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Samavia Batool</cp:lastModifiedBy>
  <dcterms:created xsi:type="dcterms:W3CDTF">2026-10-16T08:07:29Z</dcterms:created>
  <dcterms:modified xsi:type="dcterms:W3CDTF">2026-10-16T08:45:26Z</dcterms:modified>
  <cp:category/>
</cp:coreProperties>
</file>